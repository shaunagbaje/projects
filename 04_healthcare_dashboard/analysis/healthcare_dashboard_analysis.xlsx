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aunagbaje/Documents/GitHub/projects/04_healthcare_dashboard/analysis/"/>
    </mc:Choice>
  </mc:AlternateContent>
  <xr:revisionPtr revIDLastSave="0" documentId="13_ncr:1_{70B7DBA9-0D8B-684B-8127-1DA9A32A08DB}" xr6:coauthVersionLast="47" xr6:coauthVersionMax="47" xr10:uidLastSave="{00000000-0000-0000-0000-000000000000}"/>
  <bookViews>
    <workbookView xWindow="13820" yWindow="660" windowWidth="15420" windowHeight="17120" xr2:uid="{A25A0010-C508-564D-9376-B547B540A324}"/>
  </bookViews>
  <sheets>
    <sheet name="KPI Summary" sheetId="1" r:id="rId1"/>
    <sheet name="Monthly Activity" sheetId="2" r:id="rId2"/>
    <sheet name="Clinic Activity" sheetId="3" r:id="rId3"/>
    <sheet name="Doctor Activity" sheetId="4" r:id="rId4"/>
    <sheet name="Specialty Activity" sheetId="5" r:id="rId5"/>
    <sheet name="Treatments" sheetId="6" r:id="rId6"/>
    <sheet name="Payments" sheetId="7" r:id="rId7"/>
    <sheet name="Insurance" sheetId="8" r:id="rId8"/>
    <sheet name="Demographics" sheetId="9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6" l="1"/>
  <c r="E5" i="6"/>
  <c r="D5" i="6"/>
  <c r="B5" i="6"/>
  <c r="C5" i="6"/>
</calcChain>
</file>

<file path=xl/sharedStrings.xml><?xml version="1.0" encoding="utf-8"?>
<sst xmlns="http://schemas.openxmlformats.org/spreadsheetml/2006/main" count="204" uniqueCount="116">
  <si>
    <t>KPI</t>
  </si>
  <si>
    <t>Value</t>
  </si>
  <si>
    <t>Total appointments</t>
  </si>
  <si>
    <t>Completed appointments</t>
  </si>
  <si>
    <t>Cancelled appointments</t>
  </si>
  <si>
    <t>Pending appointments</t>
  </si>
  <si>
    <t>Completion rate</t>
  </si>
  <si>
    <t>Cancellation rate</t>
  </si>
  <si>
    <t>Unique patients with appointments</t>
  </si>
  <si>
    <t>Total treatment cost</t>
  </si>
  <si>
    <t>Average treatment cost</t>
  </si>
  <si>
    <t>Total recorded payment value</t>
  </si>
  <si>
    <t>Average payment</t>
  </si>
  <si>
    <t>appointment_month</t>
  </si>
  <si>
    <t>status</t>
  </si>
  <si>
    <t>appointments</t>
  </si>
  <si>
    <t>2025-03</t>
  </si>
  <si>
    <t>Cancelled</t>
  </si>
  <si>
    <t>Completed</t>
  </si>
  <si>
    <t>Pending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</si>
  <si>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</si>
  <si>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</si>
  <si>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</si>
  <si>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</si>
  <si>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</si>
  <si>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</si>
  <si>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</si>
  <si>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</si>
  <si>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</si>
  <si>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</si>
  <si>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</si>
  <si>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</si>
  <si>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clinic_id</t>
  </si>
  <si>
    <t>clinic_name</t>
  </si>
  <si>
    <t>city</t>
  </si>
  <si>
    <t>clinic_type</t>
  </si>
  <si>
    <t>total_appointments</t>
  </si>
  <si>
    <t>completed</t>
  </si>
  <si>
    <t>cancelled</t>
  </si>
  <si>
    <t>pending</t>
  </si>
  <si>
    <t>completion_rate</t>
  </si>
  <si>
    <t>cancellation_rate</t>
  </si>
  <si>
    <t>C1</t>
  </si>
  <si>
    <t>Medical Group Smithfurt</t>
  </si>
  <si>
    <t>East Mistybury</t>
  </si>
  <si>
    <t>Private</t>
  </si>
  <si>
    <t>C10</t>
  </si>
  <si>
    <t>HealthCare Center East Matthewshire</t>
  </si>
  <si>
    <t>West Ryan</t>
  </si>
  <si>
    <t>C11</t>
  </si>
  <si>
    <t>HealthCare Center East Scottstad</t>
  </si>
  <si>
    <t>South Christinaburgh</t>
  </si>
  <si>
    <t>Public</t>
  </si>
  <si>
    <t>C12</t>
  </si>
  <si>
    <t>Family Health Clinic Butlerchester</t>
  </si>
  <si>
    <t>Jenniferborough</t>
  </si>
  <si>
    <t>C13</t>
  </si>
  <si>
    <t>HealthCare Center East Lauraport</t>
  </si>
  <si>
    <t>West Stevenhaven</t>
  </si>
  <si>
    <t>doctor_id</t>
  </si>
  <si>
    <t>full_name</t>
  </si>
  <si>
    <t>specialty</t>
  </si>
  <si>
    <t>D1</t>
  </si>
  <si>
    <t>Daniel Parks</t>
  </si>
  <si>
    <t>Dermatology</t>
  </si>
  <si>
    <t>C25</t>
  </si>
  <si>
    <t>D10</t>
  </si>
  <si>
    <t>Amanda Duncan</t>
  </si>
  <si>
    <t>Pediatrics</t>
  </si>
  <si>
    <t>C39</t>
  </si>
  <si>
    <t>D100</t>
  </si>
  <si>
    <t>Chad Mitchell</t>
  </si>
  <si>
    <t>C42</t>
  </si>
  <si>
    <t>D101</t>
  </si>
  <si>
    <t>Frederick Williams</t>
  </si>
  <si>
    <t>C48</t>
  </si>
  <si>
    <t>D102</t>
  </si>
  <si>
    <t>Erik Joseph</t>
  </si>
  <si>
    <t>C5</t>
  </si>
  <si>
    <t>Cardiology</t>
  </si>
  <si>
    <t>treatment_type</t>
  </si>
  <si>
    <t>treatments</t>
  </si>
  <si>
    <t>ongoing</t>
  </si>
  <si>
    <t>total_cost</t>
  </si>
  <si>
    <t>average_cost</t>
  </si>
  <si>
    <t>Checkup</t>
  </si>
  <si>
    <t>Surgery</t>
  </si>
  <si>
    <t>Therapy</t>
  </si>
  <si>
    <t>Total</t>
  </si>
  <si>
    <t>/////////////////////</t>
  </si>
  <si>
    <t>payment_method</t>
  </si>
  <si>
    <t>transactions</t>
  </si>
  <si>
    <t>total_payment</t>
  </si>
  <si>
    <t>average_payment</t>
  </si>
  <si>
    <t>Card</t>
  </si>
  <si>
    <t>Cash</t>
  </si>
  <si>
    <t>Insurance</t>
  </si>
  <si>
    <t>insurance_status</t>
  </si>
  <si>
    <t>patients</t>
  </si>
  <si>
    <t>Insured</t>
  </si>
  <si>
    <t>Not Insured</t>
  </si>
  <si>
    <t>insurance_provider</t>
  </si>
  <si>
    <t>Aetna</t>
  </si>
  <si>
    <t>Cigna</t>
  </si>
  <si>
    <t>coverage_level</t>
  </si>
  <si>
    <t>High</t>
  </si>
  <si>
    <t>Low</t>
  </si>
  <si>
    <t>Medium</t>
  </si>
  <si>
    <t>Female</t>
  </si>
  <si>
    <t>Male</t>
  </si>
  <si>
    <t>gender</t>
  </si>
  <si>
    <t>blood_group</t>
  </si>
  <si>
    <t>O+</t>
  </si>
  <si>
    <t>A+</t>
  </si>
  <si>
    <t>AB+</t>
  </si>
  <si>
    <t>B+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</si>
</sst>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3"/>
      <color theme="1"/>
      <name val="Helvetica Neue"/>
      <family val="2"/>
    </font>
    <font>
      <b/>
      <sz val="13"/>
      <color theme="1"/>
      <name val="Helvetica Neue"/>
      <family val="2"/>
    </font>
    <font>
      <sz val="12"/>
      <color theme="1"/>
      <name val="Helvetica Neue"/>
      <family val="2"/>
    </font>
    <font>
      <b/>
      <sz val="12"/>
      <color theme="1"/>
      <name val="Helvetica Neue"/>
      <family val="2"/>
    </font>
    <font>
      <b/>
      <sz val="12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3" fontId="4" fillId="0" borderId="0" xfId="0" applyNumberFormat="1" applyFont="1"/>
    <xf numFmtId="10" fontId="4" fillId="0" borderId="0" xfId="0" applyNumberFormat="1" applyFont="1"/>
    <xf numFmtId="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D42D-42BB-C149-89A4-978ADA729C2A}">
  <dimension ref="A1:B12"/>
  <sheetViews>
    <sheetView tabSelected="1" workbookViewId="0">
      <selection activeCell="A22" sqref="A22"/>
    </sheetView>
  </sheetViews>
  <sheetFormatPr baseColWidth="10" defaultRowHeight="16" x14ac:dyDescent="0.2"/>
  <cols>
    <col min="1" max="1" width="29.6640625" style="3" bestFit="1" customWidth="1"/>
    <col min="2" max="2" width="14.33203125" style="3" bestFit="1" customWidth="1"/>
    <col min="3" max="16384" width="10.83203125" style="3"/>
  </cols>
  <sheetData>
    <row r="1" spans="1:2" x14ac:dyDescent="0.2">
      <c r="A1" s="4" t="s">
        <v>0</v>
      </c>
      <c r="B1" s="4" t="s">
        <v>1</v>
      </c>
    </row>
    <row r="2" spans="1:2" x14ac:dyDescent="0.2">
      <c r="A2" s="3" t="s">
        <v>2</v>
      </c>
      <c r="B2" s="6">
        <v>100000</v>
      </c>
    </row>
    <row r="3" spans="1:2" x14ac:dyDescent="0.2">
      <c r="A3" s="3" t="s">
        <v>3</v>
      </c>
      <c r="B3" s="6">
        <v>33409</v>
      </c>
    </row>
    <row r="4" spans="1:2" x14ac:dyDescent="0.2">
      <c r="A4" s="3" t="s">
        <v>4</v>
      </c>
      <c r="B4" s="6">
        <v>33152</v>
      </c>
    </row>
    <row r="5" spans="1:2" x14ac:dyDescent="0.2">
      <c r="A5" s="3" t="s">
        <v>5</v>
      </c>
      <c r="B5" s="6">
        <v>33439</v>
      </c>
    </row>
    <row r="6" spans="1:2" x14ac:dyDescent="0.2">
      <c r="A6" s="3" t="s">
        <v>6</v>
      </c>
      <c r="B6" s="7">
        <v>0.33410000000000001</v>
      </c>
    </row>
    <row r="7" spans="1:2" x14ac:dyDescent="0.2">
      <c r="A7" s="3" t="s">
        <v>7</v>
      </c>
      <c r="B7" s="7">
        <v>0.33150000000000002</v>
      </c>
    </row>
    <row r="8" spans="1:2" x14ac:dyDescent="0.2">
      <c r="A8" s="3" t="s">
        <v>8</v>
      </c>
      <c r="B8" s="6">
        <v>19861</v>
      </c>
    </row>
    <row r="9" spans="1:2" x14ac:dyDescent="0.2">
      <c r="A9" s="3" t="s">
        <v>9</v>
      </c>
      <c r="B9" s="8">
        <v>80138137.599999994</v>
      </c>
    </row>
    <row r="10" spans="1:2" x14ac:dyDescent="0.2">
      <c r="A10" s="3" t="s">
        <v>10</v>
      </c>
      <c r="B10" s="3">
        <v>801.38</v>
      </c>
    </row>
    <row r="11" spans="1:2" x14ac:dyDescent="0.2">
      <c r="A11" s="3" t="s">
        <v>11</v>
      </c>
      <c r="B11" s="8">
        <v>80138137.599999994</v>
      </c>
    </row>
    <row r="12" spans="1:2" x14ac:dyDescent="0.2">
      <c r="A12" s="3" t="s">
        <v>12</v>
      </c>
      <c r="B12" s="3">
        <v>801.38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D0BFE-B8C8-9B46-892E-847DA37970CE}">
  <dimension ref="A1:C40"/>
  <sheetViews>
    <sheetView workbookViewId="0">
      <selection activeCell="H24" sqref="H24"/>
    </sheetView>
  </sheetViews>
  <sheetFormatPr baseColWidth="10" defaultRowHeight="16" x14ac:dyDescent="0.2"/>
  <cols>
    <col min="1" max="1" width="22.6640625" style="3" bestFit="1" customWidth="1"/>
    <col min="2" max="2" width="11.83203125" style="3" bestFit="1" customWidth="1"/>
    <col min="3" max="4" width="15.5" style="3" bestFit="1" customWidth="1"/>
    <col min="5" max="16384" width="10.83203125" style="3"/>
  </cols>
  <sheetData>
    <row r="1" spans="1:3" s="3" customFormat="1" ht="17" x14ac:dyDescent="0.2">
      <c r="A1" s="1" t="s">
        <v>13</v>
      </c>
      <c r="B1" s="1" t="s">
        <v>14</v>
      </c>
      <c r="C1" s="1" t="s">
        <v>15</v>
      </c>
    </row>
    <row r="2" spans="1:3" s="3" customFormat="1" ht="17" x14ac:dyDescent="0.2">
      <c r="A2" s="2" t="s">
        <v>16</v>
      </c>
      <c r="B2" s="2" t="s">
        <v>17</v>
      </c>
      <c r="C2" s="2">
        <v>855</v>
      </c>
    </row>
    <row r="3" spans="1:3" s="3" customFormat="1" ht="17" x14ac:dyDescent="0.2">
      <c r="A3" s="2" t="s">
        <v>16</v>
      </c>
      <c r="B3" s="2" t="s">
        <v>18</v>
      </c>
      <c r="C3" s="2">
        <v>950</v>
      </c>
    </row>
    <row r="4" spans="1:3" s="3" customFormat="1" ht="17" x14ac:dyDescent="0.2">
      <c r="A4" s="2" t="s">
        <v>16</v>
      </c>
      <c r="B4" s="2" t="s">
        <v>19</v>
      </c>
      <c r="C4" s="2">
        <v>980</v>
      </c>
    </row>
    <row r="5" spans="1:3" s="3" customFormat="1" ht="17" x14ac:dyDescent="0.2">
      <c r="A5" s="2" t="s">
        <v>20</v>
      </c>
      <c r="B5" s="2" t="s">
        <v>17</v>
      </c>
      <c r="C5" s="2">
        <v>2689</v>
      </c>
    </row>
    <row r="6" spans="1:3" s="3" customFormat="1" ht="17" x14ac:dyDescent="0.2">
      <c r="A6" s="2" t="s">
        <v>20</v>
      </c>
      <c r="B6" s="2" t="s">
        <v>18</v>
      </c>
      <c r="C6" s="2">
        <v>2807</v>
      </c>
    </row>
    <row r="7" spans="1:3" s="3" customFormat="1" ht="17" x14ac:dyDescent="0.2">
      <c r="A7" s="2" t="s">
        <v>20</v>
      </c>
      <c r="B7" s="2" t="s">
        <v>19</v>
      </c>
      <c r="C7" s="2">
        <v>2735</v>
      </c>
    </row>
    <row r="8" spans="1:3" s="3" customFormat="1" ht="17" x14ac:dyDescent="0.2">
      <c r="A8" s="2" t="s">
        <v>21</v>
      </c>
      <c r="B8" s="2" t="s">
        <v>17</v>
      </c>
      <c r="C8" s="2">
        <v>2815</v>
      </c>
    </row>
    <row r="9" spans="1:3" s="3" customFormat="1" ht="17" x14ac:dyDescent="0.2">
      <c r="A9" s="2" t="s">
        <v>21</v>
      </c>
      <c r="B9" s="2" t="s">
        <v>18</v>
      </c>
      <c r="C9" s="2">
        <v>2720</v>
      </c>
    </row>
    <row r="10" spans="1:3" s="3" customFormat="1" ht="17" x14ac:dyDescent="0.2">
      <c r="A10" s="2" t="s">
        <v>21</v>
      </c>
      <c r="B10" s="2" t="s">
        <v>19</v>
      </c>
      <c r="C10" s="2">
        <v>2847</v>
      </c>
    </row>
    <row r="11" spans="1:3" s="3" customFormat="1" ht="17" x14ac:dyDescent="0.2">
      <c r="A11" s="2" t="s">
        <v>22</v>
      </c>
      <c r="B11" s="2" t="s">
        <v>17</v>
      </c>
      <c r="C11" s="2">
        <v>2690</v>
      </c>
    </row>
    <row r="12" spans="1:3" s="3" customFormat="1" ht="17" x14ac:dyDescent="0.2">
      <c r="A12" s="2" t="s">
        <v>22</v>
      </c>
      <c r="B12" s="2" t="s">
        <v>18</v>
      </c>
      <c r="C12" s="2">
        <v>2627</v>
      </c>
    </row>
    <row r="13" spans="1:3" s="3" customFormat="1" ht="17" x14ac:dyDescent="0.2">
      <c r="A13" s="2" t="s">
        <v>22</v>
      </c>
      <c r="B13" s="2" t="s">
        <v>19</v>
      </c>
      <c r="C13" s="2">
        <v>2719</v>
      </c>
    </row>
    <row r="14" spans="1:3" s="3" customFormat="1" ht="17" x14ac:dyDescent="0.2">
      <c r="A14" s="2" t="s">
        <v>23</v>
      </c>
      <c r="B14" s="2" t="s">
        <v>17</v>
      </c>
      <c r="C14" s="2">
        <v>2841</v>
      </c>
    </row>
    <row r="15" spans="1:3" s="3" customFormat="1" ht="17" x14ac:dyDescent="0.2">
      <c r="A15" s="2" t="s">
        <v>23</v>
      </c>
      <c r="B15" s="2" t="s">
        <v>18</v>
      </c>
      <c r="C15" s="2">
        <v>2868</v>
      </c>
    </row>
    <row r="16" spans="1:3" s="3" customFormat="1" ht="17" x14ac:dyDescent="0.2">
      <c r="A16" s="2" t="s">
        <v>23</v>
      </c>
      <c r="B16" s="2" t="s">
        <v>19</v>
      </c>
      <c r="C16" s="2">
        <v>2743</v>
      </c>
    </row>
    <row r="17" spans="1:3" s="3" customFormat="1" ht="17" x14ac:dyDescent="0.2">
      <c r="A17" s="2" t="s">
        <v>24</v>
      </c>
      <c r="B17" s="2" t="s">
        <v>17</v>
      </c>
      <c r="C17" s="2">
        <v>2852</v>
      </c>
    </row>
    <row r="18" spans="1:3" s="3" customFormat="1" ht="17" x14ac:dyDescent="0.2">
      <c r="A18" s="2" t="s">
        <v>24</v>
      </c>
      <c r="B18" s="2" t="s">
        <v>18</v>
      </c>
      <c r="C18" s="2">
        <v>2788</v>
      </c>
    </row>
    <row r="19" spans="1:3" s="3" customFormat="1" ht="17" x14ac:dyDescent="0.2">
      <c r="A19" s="2" t="s">
        <v>24</v>
      </c>
      <c r="B19" s="2" t="s">
        <v>19</v>
      </c>
      <c r="C19" s="2">
        <v>2934</v>
      </c>
    </row>
    <row r="20" spans="1:3" s="3" customFormat="1" ht="17" x14ac:dyDescent="0.2">
      <c r="A20" s="2" t="s">
        <v>25</v>
      </c>
      <c r="B20" s="2" t="s">
        <v>17</v>
      </c>
      <c r="C20" s="2">
        <v>2697</v>
      </c>
    </row>
    <row r="21" spans="1:3" s="3" customFormat="1" ht="17" x14ac:dyDescent="0.2">
      <c r="A21" s="2" t="s">
        <v>25</v>
      </c>
      <c r="B21" s="2" t="s">
        <v>18</v>
      </c>
      <c r="C21" s="2">
        <v>2695</v>
      </c>
    </row>
    <row r="22" spans="1:3" s="3" customFormat="1" ht="17" x14ac:dyDescent="0.2">
      <c r="A22" s="2" t="s">
        <v>25</v>
      </c>
      <c r="B22" s="2" t="s">
        <v>19</v>
      </c>
      <c r="C22" s="2">
        <v>2720</v>
      </c>
    </row>
    <row r="23" spans="1:3" s="3" customFormat="1" ht="17" x14ac:dyDescent="0.2">
      <c r="A23" s="2" t="s">
        <v>26</v>
      </c>
      <c r="B23" s="2" t="s">
        <v>17</v>
      </c>
      <c r="C23" s="2">
        <v>2761</v>
      </c>
    </row>
    <row r="24" spans="1:3" s="3" customFormat="1" ht="17" x14ac:dyDescent="0.2">
      <c r="A24" s="2" t="s">
        <v>26</v>
      </c>
      <c r="B24" s="2" t="s">
        <v>18</v>
      </c>
      <c r="C24" s="2">
        <v>2820</v>
      </c>
    </row>
    <row r="25" spans="1:3" s="3" customFormat="1" ht="17" x14ac:dyDescent="0.2">
      <c r="A25" s="2" t="s">
        <v>26</v>
      </c>
      <c r="B25" s="2" t="s">
        <v>19</v>
      </c>
      <c r="C25" s="2">
        <v>2790</v>
      </c>
    </row>
    <row r="26" spans="1:3" s="3" customFormat="1" ht="17" x14ac:dyDescent="0.2">
      <c r="A26" s="2" t="s">
        <v>27</v>
      </c>
      <c r="B26" s="2" t="s">
        <v>17</v>
      </c>
      <c r="C26" s="2">
        <v>2739</v>
      </c>
    </row>
    <row r="27" spans="1:3" s="3" customFormat="1" ht="17" x14ac:dyDescent="0.2">
      <c r="A27" s="2" t="s">
        <v>27</v>
      </c>
      <c r="B27" s="2" t="s">
        <v>18</v>
      </c>
      <c r="C27" s="2">
        <v>2833</v>
      </c>
    </row>
    <row r="28" spans="1:3" s="3" customFormat="1" ht="17" x14ac:dyDescent="0.2">
      <c r="A28" s="2" t="s">
        <v>27</v>
      </c>
      <c r="B28" s="2" t="s">
        <v>19</v>
      </c>
      <c r="C28" s="2">
        <v>2759</v>
      </c>
    </row>
    <row r="29" spans="1:3" s="3" customFormat="1" ht="17" x14ac:dyDescent="0.2">
      <c r="A29" s="2" t="s">
        <v>28</v>
      </c>
      <c r="B29" s="2" t="s">
        <v>17</v>
      </c>
      <c r="C29" s="2">
        <v>2877</v>
      </c>
    </row>
    <row r="30" spans="1:3" s="3" customFormat="1" ht="17" x14ac:dyDescent="0.2">
      <c r="A30" s="2" t="s">
        <v>28</v>
      </c>
      <c r="B30" s="2" t="s">
        <v>18</v>
      </c>
      <c r="C30" s="2">
        <v>2878</v>
      </c>
    </row>
    <row r="31" spans="1:3" s="3" customFormat="1" ht="17" x14ac:dyDescent="0.2">
      <c r="A31" s="2" t="s">
        <v>28</v>
      </c>
      <c r="B31" s="2" t="s">
        <v>19</v>
      </c>
      <c r="C31" s="2">
        <v>2882</v>
      </c>
    </row>
    <row r="32" spans="1:3" s="3" customFormat="1" ht="17" x14ac:dyDescent="0.2">
      <c r="A32" s="2" t="s">
        <v>29</v>
      </c>
      <c r="B32" s="2" t="s">
        <v>17</v>
      </c>
      <c r="C32" s="2">
        <v>2836</v>
      </c>
    </row>
    <row r="33" spans="1:3" s="3" customFormat="1" ht="17" x14ac:dyDescent="0.2">
      <c r="A33" s="2" t="s">
        <v>29</v>
      </c>
      <c r="B33" s="2" t="s">
        <v>18</v>
      </c>
      <c r="C33" s="2">
        <v>2827</v>
      </c>
    </row>
    <row r="34" spans="1:3" s="3" customFormat="1" ht="17" x14ac:dyDescent="0.2">
      <c r="A34" s="2" t="s">
        <v>29</v>
      </c>
      <c r="B34" s="2" t="s">
        <v>19</v>
      </c>
      <c r="C34" s="2">
        <v>2830</v>
      </c>
    </row>
    <row r="35" spans="1:3" s="3" customFormat="1" ht="17" x14ac:dyDescent="0.2">
      <c r="A35" s="2" t="s">
        <v>30</v>
      </c>
      <c r="B35" s="2" t="s">
        <v>17</v>
      </c>
      <c r="C35" s="2">
        <v>2500</v>
      </c>
    </row>
    <row r="36" spans="1:3" s="3" customFormat="1" ht="17" x14ac:dyDescent="0.2">
      <c r="A36" s="2" t="s">
        <v>30</v>
      </c>
      <c r="B36" s="2" t="s">
        <v>18</v>
      </c>
      <c r="C36" s="2">
        <v>2550</v>
      </c>
    </row>
    <row r="37" spans="1:3" s="3" customFormat="1" ht="17" x14ac:dyDescent="0.2">
      <c r="A37" s="2" t="s">
        <v>30</v>
      </c>
      <c r="B37" s="2" t="s">
        <v>19</v>
      </c>
      <c r="C37" s="2">
        <v>2462</v>
      </c>
    </row>
    <row r="38" spans="1:3" s="3" customFormat="1" ht="17" x14ac:dyDescent="0.2">
      <c r="A38" s="2" t="s">
        <v>31</v>
      </c>
      <c r="B38" s="2" t="s">
        <v>17</v>
      </c>
      <c r="C38" s="2">
        <v>2000</v>
      </c>
    </row>
    <row r="39" spans="1:3" s="3" customFormat="1" ht="17" x14ac:dyDescent="0.2">
      <c r="A39" s="2" t="s">
        <v>31</v>
      </c>
      <c r="B39" s="2" t="s">
        <v>18</v>
      </c>
      <c r="C39" s="2">
        <v>2046</v>
      </c>
    </row>
    <row r="40" spans="1:3" s="3" customFormat="1" ht="17" x14ac:dyDescent="0.2">
      <c r="A40" s="2" t="s">
        <v>31</v>
      </c>
      <c r="B40" s="2" t="s">
        <v>19</v>
      </c>
      <c r="C40" s="2">
        <v>2038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40EB-6BE8-7045-8515-1F6EE3A63E01}">
  <dimension ref="A1:J6"/>
  <sheetViews>
    <sheetView workbookViewId="0">
      <selection activeCell="B14" sqref="B14"/>
    </sheetView>
  </sheetViews>
  <sheetFormatPr baseColWidth="10" defaultRowHeight="16" x14ac:dyDescent="0.2"/>
  <cols>
    <col min="1" max="1" width="9.33203125" style="3" bestFit="1" customWidth="1"/>
    <col min="2" max="2" width="38.33203125" style="3" bestFit="1" customWidth="1"/>
    <col min="3" max="3" width="21.6640625" style="3" bestFit="1" customWidth="1"/>
    <col min="4" max="4" width="12" style="3" bestFit="1" customWidth="1"/>
    <col min="5" max="5" width="21.6640625" style="3" bestFit="1" customWidth="1"/>
    <col min="6" max="6" width="12" style="3" bestFit="1" customWidth="1"/>
    <col min="7" max="7" width="10.6640625" style="3" bestFit="1" customWidth="1"/>
    <col min="8" max="8" width="9.5" style="3" bestFit="1" customWidth="1"/>
    <col min="9" max="9" width="18" style="3" bestFit="1" customWidth="1"/>
    <col min="10" max="10" width="18.6640625" style="3" bestFit="1" customWidth="1"/>
    <col min="11" max="16384" width="10.83203125" style="3"/>
  </cols>
  <sheetData>
    <row r="1" spans="1:10" s="3" customFormat="1" ht="17" x14ac:dyDescent="0.2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</row>
    <row r="2" spans="1:10" s="3" customFormat="1" ht="17" x14ac:dyDescent="0.2">
      <c r="A2" s="2" t="s">
        <v>42</v>
      </c>
      <c r="B2" s="2" t="s">
        <v>43</v>
      </c>
      <c r="C2" s="2" t="s">
        <v>44</v>
      </c>
      <c r="D2" s="2" t="s">
        <v>45</v>
      </c>
      <c r="E2" s="2">
        <v>2007</v>
      </c>
      <c r="F2" s="2">
        <v>690</v>
      </c>
      <c r="G2" s="2">
        <v>623</v>
      </c>
      <c r="H2" s="2">
        <v>694</v>
      </c>
      <c r="I2" s="2">
        <v>34.379671000000002</v>
      </c>
      <c r="J2" s="2">
        <v>31.041354999999999</v>
      </c>
    </row>
    <row r="3" spans="1:10" s="3" customFormat="1" ht="17" x14ac:dyDescent="0.2">
      <c r="A3" s="2" t="s">
        <v>46</v>
      </c>
      <c r="B3" s="2" t="s">
        <v>47</v>
      </c>
      <c r="C3" s="2" t="s">
        <v>48</v>
      </c>
      <c r="D3" s="2" t="s">
        <v>45</v>
      </c>
      <c r="E3" s="2">
        <v>1983</v>
      </c>
      <c r="F3" s="2">
        <v>671</v>
      </c>
      <c r="G3" s="2">
        <v>674</v>
      </c>
      <c r="H3" s="2">
        <v>638</v>
      </c>
      <c r="I3" s="2">
        <v>33.837620000000001</v>
      </c>
      <c r="J3" s="2">
        <v>33.988906</v>
      </c>
    </row>
    <row r="4" spans="1:10" s="3" customFormat="1" ht="17" x14ac:dyDescent="0.2">
      <c r="A4" s="2" t="s">
        <v>49</v>
      </c>
      <c r="B4" s="2" t="s">
        <v>50</v>
      </c>
      <c r="C4" s="2" t="s">
        <v>51</v>
      </c>
      <c r="D4" s="2" t="s">
        <v>52</v>
      </c>
      <c r="E4" s="2">
        <v>2053</v>
      </c>
      <c r="F4" s="2">
        <v>703</v>
      </c>
      <c r="G4" s="2">
        <v>692</v>
      </c>
      <c r="H4" s="2">
        <v>658</v>
      </c>
      <c r="I4" s="2">
        <v>34.242572000000003</v>
      </c>
      <c r="J4" s="2">
        <v>33.706771000000003</v>
      </c>
    </row>
    <row r="5" spans="1:10" s="3" customFormat="1" ht="17" x14ac:dyDescent="0.2">
      <c r="A5" s="2" t="s">
        <v>53</v>
      </c>
      <c r="B5" s="2" t="s">
        <v>54</v>
      </c>
      <c r="C5" s="2" t="s">
        <v>55</v>
      </c>
      <c r="D5" s="2" t="s">
        <v>52</v>
      </c>
      <c r="E5" s="2">
        <v>1957</v>
      </c>
      <c r="F5" s="2">
        <v>656</v>
      </c>
      <c r="G5" s="2">
        <v>658</v>
      </c>
      <c r="H5" s="2">
        <v>643</v>
      </c>
      <c r="I5" s="2">
        <v>33.520695000000003</v>
      </c>
      <c r="J5" s="2">
        <v>33.622892</v>
      </c>
    </row>
    <row r="6" spans="1:10" s="3" customFormat="1" ht="17" x14ac:dyDescent="0.2">
      <c r="A6" s="2" t="s">
        <v>56</v>
      </c>
      <c r="B6" s="2" t="s">
        <v>57</v>
      </c>
      <c r="C6" s="2" t="s">
        <v>58</v>
      </c>
      <c r="D6" s="2" t="s">
        <v>45</v>
      </c>
      <c r="E6" s="2">
        <v>2035</v>
      </c>
      <c r="F6" s="2">
        <v>688</v>
      </c>
      <c r="G6" s="2">
        <v>702</v>
      </c>
      <c r="H6" s="2">
        <v>645</v>
      </c>
      <c r="I6" s="2">
        <v>33.808354000000001</v>
      </c>
      <c r="J6" s="2">
        <v>34.496313999999998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FC9AC-5859-9242-B42A-2D32A95BEF2E}">
  <dimension ref="A1:I6"/>
  <sheetViews>
    <sheetView workbookViewId="0">
      <selection activeCell="B9" sqref="B9"/>
    </sheetView>
  </sheetViews>
  <sheetFormatPr baseColWidth="10" defaultRowHeight="16" x14ac:dyDescent="0.2"/>
  <cols>
    <col min="1" max="1" width="11" bestFit="1" customWidth="1"/>
    <col min="2" max="2" width="21.6640625" bestFit="1" customWidth="1"/>
    <col min="3" max="3" width="12" bestFit="1" customWidth="1"/>
    <col min="4" max="4" width="10.6640625" bestFit="1" customWidth="1"/>
    <col min="5" max="5" width="9.5" bestFit="1" customWidth="1"/>
    <col min="6" max="6" width="18" bestFit="1" customWidth="1"/>
    <col min="7" max="7" width="19.1640625" bestFit="1" customWidth="1"/>
    <col min="8" max="8" width="13.33203125" bestFit="1" customWidth="1"/>
    <col min="9" max="9" width="9.33203125" bestFit="1" customWidth="1"/>
  </cols>
  <sheetData>
    <row r="1" spans="1:9" ht="17" x14ac:dyDescent="0.2">
      <c r="A1" s="1" t="s">
        <v>59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60</v>
      </c>
      <c r="H1" s="1" t="s">
        <v>61</v>
      </c>
      <c r="I1" s="1" t="s">
        <v>32</v>
      </c>
    </row>
    <row r="2" spans="1:9" ht="17" x14ac:dyDescent="0.2">
      <c r="A2" s="2" t="s">
        <v>62</v>
      </c>
      <c r="B2" s="2">
        <v>203</v>
      </c>
      <c r="C2" s="2">
        <v>60</v>
      </c>
      <c r="D2" s="2">
        <v>68</v>
      </c>
      <c r="E2" s="2">
        <v>75</v>
      </c>
      <c r="F2" s="2">
        <v>29.556650000000001</v>
      </c>
      <c r="G2" s="2" t="s">
        <v>63</v>
      </c>
      <c r="H2" s="2" t="s">
        <v>64</v>
      </c>
      <c r="I2" s="2" t="s">
        <v>65</v>
      </c>
    </row>
    <row r="3" spans="1:9" ht="17" x14ac:dyDescent="0.2">
      <c r="A3" s="2" t="s">
        <v>66</v>
      </c>
      <c r="B3" s="2">
        <v>204</v>
      </c>
      <c r="C3" s="2">
        <v>73</v>
      </c>
      <c r="D3" s="2">
        <v>64</v>
      </c>
      <c r="E3" s="2">
        <v>67</v>
      </c>
      <c r="F3" s="2">
        <v>35.784314000000002</v>
      </c>
      <c r="G3" s="2" t="s">
        <v>67</v>
      </c>
      <c r="H3" s="2" t="s">
        <v>68</v>
      </c>
      <c r="I3" s="2" t="s">
        <v>69</v>
      </c>
    </row>
    <row r="4" spans="1:9" ht="17" x14ac:dyDescent="0.2">
      <c r="A4" s="2" t="s">
        <v>70</v>
      </c>
      <c r="B4" s="2">
        <v>176</v>
      </c>
      <c r="C4" s="2">
        <v>49</v>
      </c>
      <c r="D4" s="2">
        <v>69</v>
      </c>
      <c r="E4" s="2">
        <v>58</v>
      </c>
      <c r="F4" s="2">
        <v>27.840909</v>
      </c>
      <c r="G4" s="2" t="s">
        <v>71</v>
      </c>
      <c r="H4" s="2" t="s">
        <v>64</v>
      </c>
      <c r="I4" s="2" t="s">
        <v>72</v>
      </c>
    </row>
    <row r="5" spans="1:9" ht="17" x14ac:dyDescent="0.2">
      <c r="A5" s="2" t="s">
        <v>73</v>
      </c>
      <c r="B5" s="2">
        <v>179</v>
      </c>
      <c r="C5" s="2">
        <v>64</v>
      </c>
      <c r="D5" s="2">
        <v>61</v>
      </c>
      <c r="E5" s="2">
        <v>54</v>
      </c>
      <c r="F5" s="2">
        <v>35.754190000000001</v>
      </c>
      <c r="G5" s="2" t="s">
        <v>74</v>
      </c>
      <c r="H5" s="2" t="s">
        <v>68</v>
      </c>
      <c r="I5" s="2" t="s">
        <v>75</v>
      </c>
    </row>
    <row r="6" spans="1:9" ht="17" x14ac:dyDescent="0.2">
      <c r="A6" s="2" t="s">
        <v>76</v>
      </c>
      <c r="B6" s="2">
        <v>205</v>
      </c>
      <c r="C6" s="2">
        <v>69</v>
      </c>
      <c r="D6" s="2">
        <v>73</v>
      </c>
      <c r="E6" s="2">
        <v>63</v>
      </c>
      <c r="F6" s="2">
        <v>33.658537000000003</v>
      </c>
      <c r="G6" s="2" t="s">
        <v>77</v>
      </c>
      <c r="H6" s="2" t="s">
        <v>68</v>
      </c>
      <c r="I6" s="2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48CA1-D2F5-7B47-A73A-DA791EFD43EF}">
  <dimension ref="A1:F4"/>
  <sheetViews>
    <sheetView workbookViewId="0">
      <selection activeCell="B16" sqref="B16"/>
    </sheetView>
  </sheetViews>
  <sheetFormatPr baseColWidth="10" defaultRowHeight="16" x14ac:dyDescent="0.2"/>
  <cols>
    <col min="1" max="1" width="13.33203125" style="3" bestFit="1" customWidth="1"/>
    <col min="2" max="2" width="21.6640625" style="3" bestFit="1" customWidth="1"/>
    <col min="3" max="3" width="12" style="3" bestFit="1" customWidth="1"/>
    <col min="4" max="4" width="10.6640625" style="3" bestFit="1" customWidth="1"/>
    <col min="5" max="5" width="9.5" style="3" bestFit="1" customWidth="1"/>
    <col min="6" max="6" width="18" style="3" bestFit="1" customWidth="1"/>
    <col min="7" max="16384" width="10.83203125" style="3"/>
  </cols>
  <sheetData>
    <row r="1" spans="1:6" ht="17" x14ac:dyDescent="0.2">
      <c r="A1" s="1" t="s">
        <v>61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 ht="17" x14ac:dyDescent="0.2">
      <c r="A2" s="2" t="s">
        <v>79</v>
      </c>
      <c r="B2" s="2">
        <v>32023</v>
      </c>
      <c r="C2" s="2">
        <v>10718</v>
      </c>
      <c r="D2" s="2">
        <v>10662</v>
      </c>
      <c r="E2" s="2">
        <v>10643</v>
      </c>
      <c r="F2" s="2">
        <v>33.469693999999997</v>
      </c>
    </row>
    <row r="3" spans="1:6" ht="17" x14ac:dyDescent="0.2">
      <c r="A3" s="2" t="s">
        <v>64</v>
      </c>
      <c r="B3" s="2">
        <v>34411</v>
      </c>
      <c r="C3" s="2">
        <v>11490</v>
      </c>
      <c r="D3" s="2">
        <v>11467</v>
      </c>
      <c r="E3" s="2">
        <v>11454</v>
      </c>
      <c r="F3" s="2">
        <v>33.390486000000003</v>
      </c>
    </row>
    <row r="4" spans="1:6" ht="17" x14ac:dyDescent="0.2">
      <c r="A4" s="2" t="s">
        <v>68</v>
      </c>
      <c r="B4" s="2">
        <v>33566</v>
      </c>
      <c r="C4" s="2">
        <v>11201</v>
      </c>
      <c r="D4" s="2">
        <v>11023</v>
      </c>
      <c r="E4" s="2">
        <v>11342</v>
      </c>
      <c r="F4" s="2">
        <v>33.370077000000002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AA4C9-155A-134D-95A7-75507E8301E2}">
  <dimension ref="A1:G5"/>
  <sheetViews>
    <sheetView workbookViewId="0">
      <selection activeCell="B16" sqref="B16"/>
    </sheetView>
  </sheetViews>
  <sheetFormatPr baseColWidth="10" defaultRowHeight="16" x14ac:dyDescent="0.2"/>
  <cols>
    <col min="1" max="1" width="17.1640625" style="3" bestFit="1" customWidth="1"/>
    <col min="2" max="2" width="12.5" style="3" bestFit="1" customWidth="1"/>
    <col min="3" max="3" width="12" style="3" bestFit="1" customWidth="1"/>
    <col min="4" max="4" width="9.6640625" style="3" bestFit="1" customWidth="1"/>
    <col min="5" max="5" width="9.5" style="3" bestFit="1" customWidth="1"/>
    <col min="6" max="6" width="14" style="3" bestFit="1" customWidth="1"/>
    <col min="7" max="7" width="14.83203125" style="3" bestFit="1" customWidth="1"/>
    <col min="8" max="16384" width="10.83203125" style="3"/>
  </cols>
  <sheetData>
    <row r="1" spans="1:7" s="3" customFormat="1" ht="17" x14ac:dyDescent="0.2">
      <c r="A1" s="1" t="s">
        <v>80</v>
      </c>
      <c r="B1" s="1" t="s">
        <v>81</v>
      </c>
      <c r="C1" s="1" t="s">
        <v>37</v>
      </c>
      <c r="D1" s="1" t="s">
        <v>82</v>
      </c>
      <c r="E1" s="1" t="s">
        <v>39</v>
      </c>
      <c r="F1" s="1" t="s">
        <v>83</v>
      </c>
      <c r="G1" s="1" t="s">
        <v>84</v>
      </c>
    </row>
    <row r="2" spans="1:7" s="3" customFormat="1" ht="17" x14ac:dyDescent="0.2">
      <c r="A2" s="2" t="s">
        <v>85</v>
      </c>
      <c r="B2" s="2">
        <v>33312</v>
      </c>
      <c r="C2" s="2">
        <v>10950</v>
      </c>
      <c r="D2" s="2">
        <v>11098</v>
      </c>
      <c r="E2" s="2">
        <v>11264</v>
      </c>
      <c r="F2" s="2">
        <v>26653811.109999999</v>
      </c>
      <c r="G2" s="2">
        <v>800.12641399999995</v>
      </c>
    </row>
    <row r="3" spans="1:7" s="3" customFormat="1" ht="17" x14ac:dyDescent="0.2">
      <c r="A3" s="2" t="s">
        <v>86</v>
      </c>
      <c r="B3" s="2">
        <v>33420</v>
      </c>
      <c r="C3" s="2">
        <v>11256</v>
      </c>
      <c r="D3" s="2">
        <v>10987</v>
      </c>
      <c r="E3" s="2">
        <v>11177</v>
      </c>
      <c r="F3" s="2">
        <v>26782162.809999999</v>
      </c>
      <c r="G3" s="2">
        <v>801.38129300000003</v>
      </c>
    </row>
    <row r="4" spans="1:7" s="3" customFormat="1" ht="17" x14ac:dyDescent="0.2">
      <c r="A4" s="2" t="s">
        <v>87</v>
      </c>
      <c r="B4" s="2">
        <v>33268</v>
      </c>
      <c r="C4" s="2">
        <v>11147</v>
      </c>
      <c r="D4" s="2">
        <v>10967</v>
      </c>
      <c r="E4" s="2">
        <v>11154</v>
      </c>
      <c r="F4" s="2">
        <v>26702163.719999999</v>
      </c>
      <c r="G4" s="2">
        <v>802.63808200000005</v>
      </c>
    </row>
    <row r="5" spans="1:7" s="3" customFormat="1" ht="17" x14ac:dyDescent="0.2">
      <c r="A5" s="2" t="s">
        <v>88</v>
      </c>
      <c r="B5" s="3">
        <f>SUM(B2:B4)</f>
        <v>100000</v>
      </c>
      <c r="C5" s="3">
        <f>SUM(C2:C4)</f>
        <v>33353</v>
      </c>
      <c r="D5" s="3">
        <f>SUM(D2:D4)</f>
        <v>33052</v>
      </c>
      <c r="E5" s="3">
        <f>SUM(E2:E4)</f>
        <v>33595</v>
      </c>
      <c r="F5" s="3">
        <f>SUM(F2:F4)</f>
        <v>80138137.640000001</v>
      </c>
      <c r="G5" s="3" t="s">
        <v>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10E4E-5C52-9247-AB9D-28108503104D}">
  <dimension ref="A1:D4"/>
  <sheetViews>
    <sheetView workbookViewId="0">
      <selection activeCell="C19" sqref="C19"/>
    </sheetView>
  </sheetViews>
  <sheetFormatPr baseColWidth="10" defaultRowHeight="16" x14ac:dyDescent="0.2"/>
  <cols>
    <col min="1" max="1" width="19.5" style="3" bestFit="1" customWidth="1"/>
    <col min="2" max="2" width="14" style="3" bestFit="1" customWidth="1"/>
    <col min="3" max="3" width="16" style="3" bestFit="1" customWidth="1"/>
    <col min="4" max="4" width="19.5" style="3" bestFit="1" customWidth="1"/>
    <col min="5" max="16384" width="10.83203125" style="3"/>
  </cols>
  <sheetData>
    <row r="1" spans="1:4" ht="17" x14ac:dyDescent="0.2">
      <c r="A1" s="1" t="s">
        <v>90</v>
      </c>
      <c r="B1" s="1" t="s">
        <v>91</v>
      </c>
      <c r="C1" s="1" t="s">
        <v>92</v>
      </c>
      <c r="D1" s="1" t="s">
        <v>93</v>
      </c>
    </row>
    <row r="2" spans="1:4" ht="17" x14ac:dyDescent="0.2">
      <c r="A2" s="2" t="s">
        <v>94</v>
      </c>
      <c r="B2" s="2">
        <v>33489</v>
      </c>
      <c r="C2" s="2">
        <v>26813817.66</v>
      </c>
      <c r="D2" s="2">
        <v>800.67537600000003</v>
      </c>
    </row>
    <row r="3" spans="1:4" ht="17" x14ac:dyDescent="0.2">
      <c r="A3" s="2" t="s">
        <v>95</v>
      </c>
      <c r="B3" s="2">
        <v>33482</v>
      </c>
      <c r="C3" s="2">
        <v>26865284.969999999</v>
      </c>
      <c r="D3" s="2">
        <v>802.37993500000005</v>
      </c>
    </row>
    <row r="4" spans="1:4" ht="17" x14ac:dyDescent="0.2">
      <c r="A4" s="2" t="s">
        <v>96</v>
      </c>
      <c r="B4" s="2">
        <v>33029</v>
      </c>
      <c r="C4" s="2">
        <v>26459035.010000002</v>
      </c>
      <c r="D4" s="2">
        <v>801.08495600000003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DA71C-188A-DC46-84D2-CFB6B4392776}">
  <dimension ref="A1:B12"/>
  <sheetViews>
    <sheetView workbookViewId="0">
      <selection activeCell="D19" sqref="D19"/>
    </sheetView>
  </sheetViews>
  <sheetFormatPr baseColWidth="10" defaultRowHeight="16" x14ac:dyDescent="0.2"/>
  <cols>
    <col min="1" max="1" width="21" style="3" bestFit="1" customWidth="1"/>
    <col min="2" max="2" width="9.5" style="3" bestFit="1" customWidth="1"/>
    <col min="3" max="16384" width="10.83203125" style="3"/>
  </cols>
  <sheetData>
    <row r="1" spans="1:2" ht="17" x14ac:dyDescent="0.2">
      <c r="A1" s="1" t="s">
        <v>97</v>
      </c>
      <c r="B1" s="1" t="s">
        <v>98</v>
      </c>
    </row>
    <row r="2" spans="1:2" ht="17" x14ac:dyDescent="0.2">
      <c r="A2" s="2" t="s">
        <v>99</v>
      </c>
      <c r="B2" s="2">
        <v>9943</v>
      </c>
    </row>
    <row r="3" spans="1:2" ht="17" x14ac:dyDescent="0.2">
      <c r="A3" s="2" t="s">
        <v>100</v>
      </c>
      <c r="B3" s="2">
        <v>10057</v>
      </c>
    </row>
    <row r="5" spans="1:2" ht="17" x14ac:dyDescent="0.2">
      <c r="A5" s="1" t="s">
        <v>101</v>
      </c>
      <c r="B5" s="1" t="s">
        <v>98</v>
      </c>
    </row>
    <row r="6" spans="1:2" ht="17" x14ac:dyDescent="0.2">
      <c r="A6" s="2" t="s">
        <v>102</v>
      </c>
      <c r="B6" s="2">
        <v>9903</v>
      </c>
    </row>
    <row r="7" spans="1:2" ht="17" x14ac:dyDescent="0.2">
      <c r="A7" s="2" t="s">
        <v>103</v>
      </c>
      <c r="B7" s="2">
        <v>10097</v>
      </c>
    </row>
    <row r="9" spans="1:2" ht="17" x14ac:dyDescent="0.2">
      <c r="A9" s="1" t="s">
        <v>104</v>
      </c>
      <c r="B9" s="1" t="s">
        <v>98</v>
      </c>
    </row>
    <row r="10" spans="1:2" ht="17" x14ac:dyDescent="0.2">
      <c r="A10" s="2" t="s">
        <v>105</v>
      </c>
      <c r="B10" s="2">
        <v>6636</v>
      </c>
    </row>
    <row r="11" spans="1:2" ht="17" x14ac:dyDescent="0.2">
      <c r="A11" s="2" t="s">
        <v>106</v>
      </c>
      <c r="B11" s="2">
        <v>6577</v>
      </c>
    </row>
    <row r="12" spans="1:2" ht="17" x14ac:dyDescent="0.2">
      <c r="A12" s="2" t="s">
        <v>107</v>
      </c>
      <c r="B12" s="2">
        <v>6787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6D95E-BF06-B74D-A90C-4778BACF68D9}">
  <dimension ref="A1:C9"/>
  <sheetViews>
    <sheetView workbookViewId="0">
      <selection activeCell="B16" sqref="B16"/>
    </sheetView>
  </sheetViews>
  <sheetFormatPr baseColWidth="10" defaultRowHeight="16" x14ac:dyDescent="0.2"/>
  <cols>
    <col min="1" max="1" width="11.1640625" style="3" bestFit="1" customWidth="1"/>
    <col min="2" max="16384" width="10.83203125" style="3"/>
  </cols>
  <sheetData>
    <row r="1" spans="1:3" x14ac:dyDescent="0.2">
      <c r="A1" s="4" t="s">
        <v>110</v>
      </c>
      <c r="B1" s="4" t="s">
        <v>98</v>
      </c>
      <c r="C1" s="4"/>
    </row>
    <row r="2" spans="1:3" x14ac:dyDescent="0.2">
      <c r="A2" s="3" t="s">
        <v>108</v>
      </c>
      <c r="B2" s="3">
        <v>10122</v>
      </c>
    </row>
    <row r="3" spans="1:3" x14ac:dyDescent="0.2">
      <c r="A3" s="3" t="s">
        <v>109</v>
      </c>
      <c r="B3" s="3">
        <v>9878</v>
      </c>
    </row>
    <row r="5" spans="1:3" x14ac:dyDescent="0.2">
      <c r="A5" s="5" t="s">
        <v>111</v>
      </c>
      <c r="B5" s="4" t="s">
        <v>98</v>
      </c>
    </row>
    <row r="6" spans="1:3" x14ac:dyDescent="0.2">
      <c r="A6" s="3" t="s">
        <v>112</v>
      </c>
      <c r="B6" s="3">
        <v>5064</v>
      </c>
    </row>
    <row r="7" spans="1:3" x14ac:dyDescent="0.2">
      <c r="A7" s="3" t="s">
        <v>113</v>
      </c>
      <c r="B7" s="3">
        <v>5013</v>
      </c>
    </row>
    <row r="8" spans="1:3" x14ac:dyDescent="0.2">
      <c r="A8" s="3" t="s">
        <v>114</v>
      </c>
      <c r="B8" s="3">
        <v>4984</v>
      </c>
    </row>
    <row r="9" spans="1:3" x14ac:dyDescent="0.2">
      <c r="A9" s="3" t="s">
        <v>115</v>
      </c>
      <c r="B9" s="3">
        <v>4939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 Summary</vt:lpstr>
      <vt:lpstr>Monthly Activity</vt:lpstr>
      <vt:lpstr>Clinic Activity</vt:lpstr>
      <vt:lpstr>Doctor Activity</vt:lpstr>
      <vt:lpstr>Specialty Activity</vt:lpstr>
      <vt:lpstr>Treatments</vt:lpstr>
      <vt:lpstr>Payments</vt:lpstr>
      <vt:lpstr>Insurance</vt:lpstr>
      <vt:lpstr>Demographics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Agbaje, Shaun I.A.</dc:creator>
  <cp:lastModifiedBy>Agbaje, Shaun I.A.</cp:lastModifiedBy>
  <dcterms:created xsi:type="dcterms:W3CDTF">2026-09-29T14:39:23Z</dcterms:created>
  <dcterms:modified xsi:type="dcterms:W3CDTF">2026-09-29T15:08:50Z</dcterms:modified>
</cp:coreProperties>
</file>